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<sst xmlns="http://schemas.openxmlformats.org/spreadsheetml/2006/main" count="13" uniqueCount="13">
  <si>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户型</t>
  </si>
  <si>
    <t>楼层</t>
  </si>
  <si>
    <t>面积</t>
  </si>
  <si>
    <t>60平内个人承担成本</t>
  </si>
  <si>
    <t>60平内毛成本1（按2014/平）</t>
  </si>
  <si>
    <t>60平内毛成本2（按1535/平）</t>
  </si>
  <si>
    <t>楼层差价单价</t>
  </si>
  <si>
    <t>楼层差价共</t>
  </si>
  <si>
    <t>面积差价</t>
  </si>
  <si>
    <t>维修基金</t>
  </si>
  <si>
    <t>个人净成本（纯个人承担）</t>
  </si>
  <si>
    <t>个人毛成本1（60平内按2014/平）</t>
  </si>
  <si>
    <t>个人毛成本2（60平内按1535/平）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</si>
</sst>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F16" sqref="F16"/>
    </sheetView>
  </sheetViews>
  <sheetFormatPr defaultColWidth="9.23076923076923" defaultRowHeight="16.8"/>
  <cols>
    <col min="2" max="2" width="7.84615384615385" customWidth="1"/>
    <col min="4" max="6" width="11.3653846153846" customWidth="1"/>
    <col min="9" max="9" width="9.69230769230769"/>
    <col min="11" max="11" width="9.69230769230769"/>
    <col min="12" max="13" width="10.6923076923077"/>
  </cols>
  <sheetData>
    <row r="1" ht="68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s="1">
        <v>100</v>
      </c>
      <c r="B2" s="1">
        <v>1</v>
      </c>
      <c r="C2" s="1">
        <v>99.57</v>
      </c>
      <c r="D2" s="1">
        <f>2014*60*0.1</f>
        <v>12084</v>
      </c>
      <c r="E2" s="1">
        <f>2014*60</f>
        <v>120840</v>
      </c>
      <c r="F2" s="1">
        <f>1535*60</f>
        <v>92100</v>
      </c>
      <c r="G2" s="1">
        <v>-30</v>
      </c>
      <c r="H2" s="1">
        <f>C2*G2</f>
        <v>-2987.1</v>
      </c>
      <c r="I2" s="1">
        <f>(C2-60)*1535</f>
        <v>60739.95</v>
      </c>
      <c r="J2" s="1">
        <v>3000</v>
      </c>
      <c r="K2" s="1">
        <f>D2+H2+I2+J2</f>
        <v>72836.85</v>
      </c>
      <c r="L2" s="1">
        <f>E2+H2+I2+J2</f>
        <v>181592.85</v>
      </c>
      <c r="M2" s="1">
        <f>F2+H2+I2+J2</f>
        <v>152852.85</v>
      </c>
    </row>
    <row r="3" spans="1:13">
      <c r="A3" s="1"/>
      <c r="B3" s="1">
        <v>2</v>
      </c>
      <c r="C3" s="1">
        <v>99.57</v>
      </c>
      <c r="D3" s="1">
        <f>2014*60*0.1</f>
        <v>12084</v>
      </c>
      <c r="E3" s="1">
        <f>2014*60</f>
        <v>120840</v>
      </c>
      <c r="F3" s="1">
        <f>1535*60</f>
        <v>92100</v>
      </c>
      <c r="G3" s="1">
        <v>20</v>
      </c>
      <c r="H3" s="1">
        <f>C3*G3</f>
        <v>1991.4</v>
      </c>
      <c r="I3" s="1">
        <f>(C3-60)*1535</f>
        <v>60739.95</v>
      </c>
      <c r="J3" s="1">
        <v>3000</v>
      </c>
      <c r="K3" s="1">
        <f>D3+H3+I3+J3</f>
        <v>77815.35</v>
      </c>
      <c r="L3" s="1">
        <f>E3+H3+I3+J3</f>
        <v>186571.35</v>
      </c>
      <c r="M3" s="1">
        <f>F3+H3+I3+J3</f>
        <v>157831.35</v>
      </c>
    </row>
    <row r="4" spans="1:13">
      <c r="A4" s="1"/>
      <c r="B4" s="1">
        <v>3</v>
      </c>
      <c r="C4" s="1">
        <v>99.57</v>
      </c>
      <c r="D4" s="1">
        <f>2014*60*0.1</f>
        <v>12084</v>
      </c>
      <c r="E4" s="1">
        <f>2014*60</f>
        <v>120840</v>
      </c>
      <c r="F4" s="1">
        <f>1535*60</f>
        <v>92100</v>
      </c>
      <c r="G4" s="1">
        <v>70</v>
      </c>
      <c r="H4" s="1">
        <f>C4*G4</f>
        <v>6969.9</v>
      </c>
      <c r="I4" s="1">
        <f>(C4-60)*1535</f>
        <v>60739.95</v>
      </c>
      <c r="J4" s="1">
        <v>3000</v>
      </c>
      <c r="K4" s="1">
        <f>D4+H4+I4+J4</f>
        <v>82793.85</v>
      </c>
      <c r="L4" s="1">
        <f>E4+H4+I4+J4</f>
        <v>191549.85</v>
      </c>
      <c r="M4" s="1">
        <f>F4+H4+I4+J4</f>
        <v>162809.85</v>
      </c>
    </row>
    <row r="5" spans="1:13">
      <c r="A5" s="1"/>
      <c r="B5" s="1">
        <v>4</v>
      </c>
      <c r="C5" s="1">
        <v>99.57</v>
      </c>
      <c r="D5" s="1">
        <f>2014*60*0.1</f>
        <v>12084</v>
      </c>
      <c r="E5" s="1">
        <f>2014*60</f>
        <v>120840</v>
      </c>
      <c r="F5" s="1">
        <f>1535*60</f>
        <v>92100</v>
      </c>
      <c r="G5" s="1">
        <v>40</v>
      </c>
      <c r="H5" s="1">
        <f>C5*G5</f>
        <v>3982.8</v>
      </c>
      <c r="I5" s="1">
        <f>(C5-60)*1535</f>
        <v>60739.95</v>
      </c>
      <c r="J5" s="1">
        <v>3000</v>
      </c>
      <c r="K5" s="1">
        <f>D5+H5+I5+J5</f>
        <v>79806.75</v>
      </c>
      <c r="L5" s="1">
        <f>E5+H5+I5+J5</f>
        <v>188562.75</v>
      </c>
      <c r="M5" s="1">
        <f>F5+H5+I5+J5</f>
        <v>159822.75</v>
      </c>
    </row>
    <row r="6" spans="1:13">
      <c r="A6" s="1"/>
      <c r="B6" s="1">
        <v>5</v>
      </c>
      <c r="C6" s="1">
        <v>99.57</v>
      </c>
      <c r="D6" s="1">
        <f>2014*60*0.1</f>
        <v>12084</v>
      </c>
      <c r="E6" s="1">
        <f>2014*60</f>
        <v>120840</v>
      </c>
      <c r="F6" s="1">
        <f>1535*60</f>
        <v>92100</v>
      </c>
      <c r="G6" s="1">
        <v>-20</v>
      </c>
      <c r="H6" s="1">
        <f>C6*G6</f>
        <v>-1991.4</v>
      </c>
      <c r="I6" s="1">
        <f>(C6-60)*1535</f>
        <v>60739.95</v>
      </c>
      <c r="J6" s="1">
        <v>3000</v>
      </c>
      <c r="K6" s="1">
        <f>D6+H6+I6+J6</f>
        <v>73832.55</v>
      </c>
      <c r="L6" s="1">
        <f>E6+H6+I6+J6</f>
        <v>182588.55</v>
      </c>
      <c r="M6" s="1">
        <f>F6+H6+I6+J6</f>
        <v>153848.55</v>
      </c>
    </row>
    <row r="7" spans="1:13">
      <c r="A7" s="1"/>
      <c r="B7" s="1">
        <v>6</v>
      </c>
      <c r="C7" s="1">
        <v>99.57</v>
      </c>
      <c r="D7" s="1">
        <f>2014*60*0.1</f>
        <v>12084</v>
      </c>
      <c r="E7" s="1">
        <f>2014*60</f>
        <v>120840</v>
      </c>
      <c r="F7" s="1">
        <f>1535*60</f>
        <v>92100</v>
      </c>
      <c r="G7" s="1">
        <v>-80</v>
      </c>
      <c r="H7" s="1">
        <f>C7*G7</f>
        <v>-7965.6</v>
      </c>
      <c r="I7" s="1">
        <f>(C7-60)*1535</f>
        <v>60739.95</v>
      </c>
      <c r="J7" s="1">
        <v>3000</v>
      </c>
      <c r="K7" s="1">
        <f>D7+H7+I7+J7</f>
        <v>67858.35</v>
      </c>
      <c r="L7" s="1">
        <f>E7+H7+I7+J7</f>
        <v>176614.35</v>
      </c>
      <c r="M7" s="1">
        <f>F7+H7+I7+J7</f>
        <v>147874.35</v>
      </c>
    </row>
    <row r="8" spans="1:13">
      <c r="A8" s="1">
        <v>80</v>
      </c>
      <c r="B8" s="1">
        <v>1</v>
      </c>
      <c r="C8" s="1">
        <v>78.75</v>
      </c>
      <c r="D8" s="1">
        <f t="shared" ref="D8:D13" si="0">2014*60*0.1</f>
        <v>12084</v>
      </c>
      <c r="E8" s="1">
        <f t="shared" ref="E8:E13" si="1">2014*60</f>
        <v>120840</v>
      </c>
      <c r="F8" s="1">
        <f t="shared" ref="F8:F13" si="2">1535*60</f>
        <v>92100</v>
      </c>
      <c r="G8" s="1">
        <v>-30</v>
      </c>
      <c r="H8" s="1">
        <f t="shared" ref="H8:H13" si="3">C8*G8</f>
        <v>-2362.5</v>
      </c>
      <c r="I8" s="1">
        <f t="shared" ref="I8:I13" si="4">(C8-60)*1535</f>
        <v>28781.25</v>
      </c>
      <c r="J8" s="1">
        <v>2500</v>
      </c>
      <c r="K8" s="1">
        <f t="shared" ref="K8:K13" si="5">D8+H8+I8+J8</f>
        <v>41002.75</v>
      </c>
      <c r="L8" s="1">
        <f t="shared" ref="L8:L13" si="6">E8+H8+I8+J8</f>
        <v>149758.75</v>
      </c>
      <c r="M8" s="1">
        <f t="shared" ref="M8:M13" si="7">F8+H8+I8+J8</f>
        <v>121018.75</v>
      </c>
    </row>
    <row r="9" spans="1:13">
      <c r="A9" s="1"/>
      <c r="B9" s="1">
        <v>2</v>
      </c>
      <c r="C9" s="1">
        <v>78.75</v>
      </c>
      <c r="D9" s="1">
        <f t="shared" si="0"/>
        <v>12084</v>
      </c>
      <c r="E9" s="1">
        <f t="shared" si="1"/>
        <v>120840</v>
      </c>
      <c r="F9" s="1">
        <f t="shared" si="2"/>
        <v>92100</v>
      </c>
      <c r="G9" s="1">
        <v>20</v>
      </c>
      <c r="H9" s="1">
        <f t="shared" si="3"/>
        <v>1575</v>
      </c>
      <c r="I9" s="1">
        <f t="shared" si="4"/>
        <v>28781.25</v>
      </c>
      <c r="J9" s="1">
        <v>2500</v>
      </c>
      <c r="K9" s="1">
        <f t="shared" si="5"/>
        <v>44940.25</v>
      </c>
      <c r="L9" s="1">
        <f t="shared" si="6"/>
        <v>153696.25</v>
      </c>
      <c r="M9" s="1">
        <f t="shared" si="7"/>
        <v>124956.25</v>
      </c>
    </row>
    <row r="10" spans="1:13">
      <c r="A10" s="1"/>
      <c r="B10" s="1">
        <v>3</v>
      </c>
      <c r="C10" s="1">
        <v>78.75</v>
      </c>
      <c r="D10" s="1">
        <f t="shared" si="0"/>
        <v>12084</v>
      </c>
      <c r="E10" s="1">
        <f t="shared" si="1"/>
        <v>120840</v>
      </c>
      <c r="F10" s="1">
        <f t="shared" si="2"/>
        <v>92100</v>
      </c>
      <c r="G10" s="1">
        <v>70</v>
      </c>
      <c r="H10" s="1">
        <f t="shared" si="3"/>
        <v>5512.5</v>
      </c>
      <c r="I10" s="1">
        <f t="shared" si="4"/>
        <v>28781.25</v>
      </c>
      <c r="J10" s="1">
        <v>2500</v>
      </c>
      <c r="K10" s="1">
        <f t="shared" si="5"/>
        <v>48877.75</v>
      </c>
      <c r="L10" s="1">
        <f t="shared" si="6"/>
        <v>157633.75</v>
      </c>
      <c r="M10" s="1">
        <f t="shared" si="7"/>
        <v>128893.75</v>
      </c>
    </row>
    <row r="11" spans="1:13">
      <c r="A11" s="1"/>
      <c r="B11" s="1">
        <v>4</v>
      </c>
      <c r="C11" s="1">
        <v>78.75</v>
      </c>
      <c r="D11" s="1">
        <f t="shared" si="0"/>
        <v>12084</v>
      </c>
      <c r="E11" s="1">
        <f t="shared" si="1"/>
        <v>120840</v>
      </c>
      <c r="F11" s="1">
        <f t="shared" si="2"/>
        <v>92100</v>
      </c>
      <c r="G11" s="1">
        <v>40</v>
      </c>
      <c r="H11" s="1">
        <f t="shared" si="3"/>
        <v>3150</v>
      </c>
      <c r="I11" s="1">
        <f t="shared" si="4"/>
        <v>28781.25</v>
      </c>
      <c r="J11" s="1">
        <v>2500</v>
      </c>
      <c r="K11" s="1">
        <f t="shared" si="5"/>
        <v>46515.25</v>
      </c>
      <c r="L11" s="1">
        <f t="shared" si="6"/>
        <v>155271.25</v>
      </c>
      <c r="M11" s="1">
        <f t="shared" si="7"/>
        <v>126531.25</v>
      </c>
    </row>
    <row r="12" spans="1:13">
      <c r="A12" s="1"/>
      <c r="B12" s="1">
        <v>5</v>
      </c>
      <c r="C12" s="1">
        <v>78.75</v>
      </c>
      <c r="D12" s="1">
        <f t="shared" si="0"/>
        <v>12084</v>
      </c>
      <c r="E12" s="1">
        <f t="shared" si="1"/>
        <v>120840</v>
      </c>
      <c r="F12" s="1">
        <f t="shared" si="2"/>
        <v>92100</v>
      </c>
      <c r="G12" s="1">
        <v>-20</v>
      </c>
      <c r="H12" s="1">
        <f t="shared" si="3"/>
        <v>-1575</v>
      </c>
      <c r="I12" s="1">
        <f t="shared" si="4"/>
        <v>28781.25</v>
      </c>
      <c r="J12" s="1">
        <v>2500</v>
      </c>
      <c r="K12" s="1">
        <f t="shared" si="5"/>
        <v>41790.25</v>
      </c>
      <c r="L12" s="1">
        <f t="shared" si="6"/>
        <v>150546.25</v>
      </c>
      <c r="M12" s="1">
        <f t="shared" si="7"/>
        <v>121806.25</v>
      </c>
    </row>
    <row r="13" spans="1:13">
      <c r="A13" s="1"/>
      <c r="B13" s="1">
        <v>6</v>
      </c>
      <c r="C13" s="1">
        <v>78.75</v>
      </c>
      <c r="D13" s="1">
        <f t="shared" si="0"/>
        <v>12084</v>
      </c>
      <c r="E13" s="1">
        <f t="shared" si="1"/>
        <v>120840</v>
      </c>
      <c r="F13" s="1">
        <f t="shared" si="2"/>
        <v>92100</v>
      </c>
      <c r="G13" s="1">
        <v>-80</v>
      </c>
      <c r="H13" s="1">
        <f t="shared" si="3"/>
        <v>-6300</v>
      </c>
      <c r="I13" s="1">
        <f t="shared" si="4"/>
        <v>28781.25</v>
      </c>
      <c r="J13" s="1">
        <v>2500</v>
      </c>
      <c r="K13" s="1">
        <f t="shared" si="5"/>
        <v>37065.25</v>
      </c>
      <c r="L13" s="1">
        <f t="shared" si="6"/>
        <v>145821.25</v>
      </c>
      <c r="M13" s="1">
        <f t="shared" si="7"/>
        <v>117081.25</v>
      </c>
    </row>
  </sheetData>
  <mergeCells count="2">
    <mergeCell ref="A2:A7"/>
    <mergeCell ref="A8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itdev</dc:creator>
  <cp:lastModifiedBy>遇则安</cp:lastModifiedBy>
  <dcterms:created xsi:type="dcterms:W3CDTF">2024-10-31T13:57:36Z</dcterms:created>
  <dcterms:modified xsi:type="dcterms:W3CDTF">2024-10-31T14:32:55Z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8BE0E9038BF1C3D6501C23679F99FC63_41</vt:lpwstr>
  </property>
  <property fmtid="{D5CDD505-2E9C-101B-9397-08002B2CF9AE}" pid="3" name="KSOProductBuildVer">
    <vt:lpwstr>2052-6.8.2.8850</vt:lpwstr>
  </property>
</Properties>
</file>