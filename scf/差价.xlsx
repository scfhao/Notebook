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<sst xmlns="http://schemas.openxmlformats.org/spreadsheetml/2006/main" count="11" uniqueCount="11">
  <si>
    <t>Floor</t>
  </si>
  <si>
    <t>维修基金</t>
  </si>
  <si>
    <t>楼层单差价</t>
  </si>
  <si>
    <t>面积</t>
  </si>
  <si>
    <t>面积补差</t>
  </si>
  <si>
    <t>楼层差价</t>
  </si>
  <si>
    <t>个人承担10%</t>
  </si>
  <si>
    <t>旧房评估</t>
  </si>
  <si>
    <t>旧房评估2</t>
  </si>
  <si>
    <t>楼层</t>
  </si>
  <si>
    <t>应付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</si>
</sst>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abSelected="1" zoomScale="130" zoomScaleNormal="130" workbookViewId="0">
      <selection activeCell="C5" sqref="C5"/>
    </sheetView>
  </sheetViews>
  <sheetFormatPr defaultColWidth="9.23076923076923" defaultRowHeight="16.8" outlineLevelRow="6"/>
  <cols>
    <col min="3" max="3" width="11.6923076923077" customWidth="1"/>
    <col min="4" max="4" width="6.55769230769231" customWidth="1"/>
    <col min="5" max="5" width="11.2115384615385" customWidth="1"/>
    <col min="7" max="7" width="13.4519230769231" customWidth="1"/>
    <col min="8" max="8" width="9.69230769230769"/>
    <col min="9" max="9" width="10.7307692307692" customWidth="1"/>
    <col min="10" max="10" width="10.7307692307692" style="1" customWidth="1"/>
    <col min="11" max="11" width="9.69230769230769" style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</row>
    <row r="2" spans="1:11">
      <c r="A2">
        <v>1</v>
      </c>
      <c r="B2">
        <v>3000</v>
      </c>
      <c r="C2">
        <v>-30</v>
      </c>
      <c r="D2">
        <v>99.57</v>
      </c>
      <c r="E2">
        <f>(D2-60)*1535</f>
        <v>60739.95</v>
      </c>
      <c r="F2">
        <f>C2*D2</f>
        <v>-2987.1</v>
      </c>
      <c r="G2">
        <v>12084</v>
      </c>
      <c r="H2">
        <v>55836.12</v>
      </c>
      <c r="I2">
        <v>7159.54</v>
      </c>
      <c r="J2" s="1">
        <v>1</v>
      </c>
      <c r="K2" s="1">
        <f>B2+E2+F2+G2-H2-I2</f>
        <v>9841.18999999999</v>
      </c>
    </row>
    <row r="3" spans="1:11">
      <c r="A3">
        <v>2</v>
      </c>
      <c r="B3">
        <v>3000</v>
      </c>
      <c r="C3">
        <v>20</v>
      </c>
      <c r="D3">
        <v>99.57</v>
      </c>
      <c r="E3">
        <f>(D3-60)*1535</f>
        <v>60739.95</v>
      </c>
      <c r="F3">
        <f>C3*D3</f>
        <v>1991.4</v>
      </c>
      <c r="G3">
        <v>12084</v>
      </c>
      <c r="H3">
        <v>55836.12</v>
      </c>
      <c r="I3">
        <v>7159.54</v>
      </c>
      <c r="J3" s="1">
        <v>2</v>
      </c>
      <c r="K3" s="1">
        <f>B3+E3+F3+G3-H3-I3</f>
        <v>14819.69</v>
      </c>
    </row>
    <row r="4" spans="1:11">
      <c r="A4">
        <v>3</v>
      </c>
      <c r="B4">
        <v>3000</v>
      </c>
      <c r="C4">
        <v>70</v>
      </c>
      <c r="D4">
        <v>99.57</v>
      </c>
      <c r="E4">
        <f>(D4-60)*1535</f>
        <v>60739.95</v>
      </c>
      <c r="F4">
        <f>C4*D4</f>
        <v>6969.9</v>
      </c>
      <c r="G4">
        <v>12084</v>
      </c>
      <c r="H4">
        <v>55836.12</v>
      </c>
      <c r="I4">
        <v>7159.54</v>
      </c>
      <c r="J4" s="1">
        <v>3</v>
      </c>
      <c r="K4" s="1">
        <f>B4+E4+F4+G4-H4-I4</f>
        <v>19798.19</v>
      </c>
    </row>
    <row r="5" spans="1:11">
      <c r="A5">
        <v>4</v>
      </c>
      <c r="B5">
        <v>3000</v>
      </c>
      <c r="C5">
        <v>40</v>
      </c>
      <c r="D5">
        <v>99.57</v>
      </c>
      <c r="E5">
        <f>(D5-60)*1535</f>
        <v>60739.95</v>
      </c>
      <c r="F5">
        <f>C5*D5</f>
        <v>3982.8</v>
      </c>
      <c r="G5">
        <v>12084</v>
      </c>
      <c r="H5">
        <v>55836.12</v>
      </c>
      <c r="I5">
        <v>7159.54</v>
      </c>
      <c r="J5" s="1">
        <v>4</v>
      </c>
      <c r="K5" s="1">
        <f>B5+E5+F5+G5-H5-I5</f>
        <v>16811.09</v>
      </c>
    </row>
    <row r="6" spans="1:11">
      <c r="A6">
        <v>5</v>
      </c>
      <c r="B6">
        <v>3000</v>
      </c>
      <c r="C6">
        <v>-20</v>
      </c>
      <c r="D6">
        <v>99.57</v>
      </c>
      <c r="E6">
        <f>(D6-60)*1535</f>
        <v>60739.95</v>
      </c>
      <c r="F6">
        <f>C6*D6</f>
        <v>-1991.4</v>
      </c>
      <c r="G6">
        <v>12084</v>
      </c>
      <c r="H6">
        <v>55836.12</v>
      </c>
      <c r="I6">
        <v>7159.54</v>
      </c>
      <c r="J6" s="1">
        <v>5</v>
      </c>
      <c r="K6" s="1">
        <f>B6+E6+F6+G6-H6-I6</f>
        <v>10836.89</v>
      </c>
    </row>
    <row r="7" spans="1:11">
      <c r="A7">
        <v>6</v>
      </c>
      <c r="B7">
        <v>3000</v>
      </c>
      <c r="C7">
        <v>-80</v>
      </c>
      <c r="D7">
        <v>99.57</v>
      </c>
      <c r="E7">
        <f>(D7-60)*1535</f>
        <v>60739.95</v>
      </c>
      <c r="F7">
        <f>C7*D7</f>
        <v>-7965.6</v>
      </c>
      <c r="G7">
        <v>12084</v>
      </c>
      <c r="H7">
        <v>55836.12</v>
      </c>
      <c r="I7">
        <v>7159.54</v>
      </c>
      <c r="J7" s="1">
        <v>6</v>
      </c>
      <c r="K7" s="1">
        <f>B7+E7+F7+G7-H7-I7</f>
        <v>4862.68999999999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scfhao</dc:creator>
  <cp:lastModifiedBy>遇则安</cp:lastModifiedBy>
  <dcterms:created xsi:type="dcterms:W3CDTF">2023-12-21T08:12:43Z</dcterms:created>
  <dcterms:modified xsi:type="dcterms:W3CDTF">2023-12-21T08:43:20Z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83F6923047F1A673FB8283653AC7A087_41</vt:lpwstr>
  </property>
  <property fmtid="{D5CDD505-2E9C-101B-9397-08002B2CF9AE}" pid="3" name="KSOProductBuildVer">
    <vt:lpwstr>2052-6.4.0.8550</vt:lpwstr>
  </property>
</Properties>
</file>